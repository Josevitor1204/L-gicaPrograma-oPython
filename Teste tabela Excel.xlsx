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ad\Documents\José Vitor - 2° DS\2º EM\Logica de programacao\"/>
    </mc:Choice>
  </mc:AlternateContent>
  <xr:revisionPtr revIDLastSave="0" documentId="13_ncr:1_{EB299E9D-DD99-4E91-8E2D-595DFA5F819C}" xr6:coauthVersionLast="36" xr6:coauthVersionMax="36" xr10:uidLastSave="{00000000-0000-0000-0000-000000000000}"/>
  <bookViews>
    <workbookView xWindow="0" yWindow="0" windowWidth="21570" windowHeight="7890" activeTab="1" xr2:uid="{9252D645-2839-4D65-8E75-D81601578D88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2" i="2"/>
  <c r="D7" i="2"/>
  <c r="D2" i="2"/>
  <c r="D4" i="2"/>
  <c r="D5" i="2"/>
  <c r="D6" i="2"/>
  <c r="D3" i="2"/>
  <c r="D9" i="1"/>
  <c r="C9" i="1" l="1"/>
  <c r="B9" i="1"/>
  <c r="B11" i="1" s="1"/>
  <c r="B13" i="1" s="1"/>
  <c r="B14" i="1" s="1"/>
</calcChain>
</file>

<file path=xl/sharedStrings.xml><?xml version="1.0" encoding="utf-8"?>
<sst xmlns="http://schemas.openxmlformats.org/spreadsheetml/2006/main" count="37" uniqueCount="36">
  <si>
    <t>Controle de gastos</t>
  </si>
  <si>
    <t>Descrição</t>
  </si>
  <si>
    <t>Valor gasto</t>
  </si>
  <si>
    <t>Vencimento</t>
  </si>
  <si>
    <t>Aluguel</t>
  </si>
  <si>
    <t>Água</t>
  </si>
  <si>
    <t>Luz</t>
  </si>
  <si>
    <t>Transporte</t>
  </si>
  <si>
    <t>Alimentação</t>
  </si>
  <si>
    <t>Total gasto</t>
  </si>
  <si>
    <t>caixa</t>
  </si>
  <si>
    <t>saldo</t>
  </si>
  <si>
    <t>Gasto p/dia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</si>
  <si>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</si>
  <si>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</si>
  <si>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</si>
  <si>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</si>
  <si>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</si>
  <si>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</si>
  <si>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</si>
  <si>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</si>
  <si>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</si>
  <si>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</si>
  <si>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</si>
  <si>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</si>
  <si>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Coluna1</t>
  </si>
  <si>
    <t>Quantidade</t>
  </si>
  <si>
    <t>Valor unitário</t>
  </si>
  <si>
    <t>Teclado</t>
  </si>
  <si>
    <t xml:space="preserve">Mouse </t>
  </si>
  <si>
    <t>Monitor</t>
  </si>
  <si>
    <t>Placa Mãe</t>
  </si>
  <si>
    <t>Cooler</t>
  </si>
  <si>
    <t>Gabinete</t>
  </si>
  <si>
    <t>Valor total</t>
  </si>
  <si>
    <t>Valor c/ 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</si>
</sst>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Border="1"/>
    <xf numFmtId="0" fontId="0" fillId="0" borderId="2" xfId="0" applyBorder="1"/>
    <xf numFmtId="0" fontId="2" fillId="0" borderId="0" xfId="0" applyFont="1" applyFill="1" applyBorder="1" applyAlignment="1"/>
    <xf numFmtId="0" fontId="0" fillId="0" borderId="0" xfId="0" applyFill="1" applyBorder="1"/>
    <xf numFmtId="16" fontId="0" fillId="0" borderId="5" xfId="0" applyNumberFormat="1" applyBorder="1"/>
    <xf numFmtId="0" fontId="0" fillId="0" borderId="9" xfId="0" applyBorder="1"/>
    <xf numFmtId="16" fontId="0" fillId="0" borderId="10" xfId="0" applyNumberFormat="1" applyBorder="1"/>
    <xf numFmtId="44" fontId="0" fillId="0" borderId="1" xfId="0" applyNumberFormat="1" applyBorder="1"/>
    <xf numFmtId="44" fontId="0" fillId="0" borderId="3" xfId="0" applyNumberFormat="1" applyBorder="1"/>
    <xf numFmtId="0" fontId="0" fillId="3" borderId="7" xfId="0" applyFill="1" applyBorder="1"/>
    <xf numFmtId="0" fontId="0" fillId="3" borderId="4" xfId="0" applyFill="1" applyBorder="1"/>
    <xf numFmtId="0" fontId="0" fillId="3" borderId="8" xfId="0" applyFill="1" applyBorder="1"/>
    <xf numFmtId="44" fontId="0" fillId="0" borderId="0" xfId="0" applyNumberFormat="1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44" fontId="0" fillId="0" borderId="1" xfId="1" applyFont="1" applyBorder="1"/>
    <xf numFmtId="164" fontId="0" fillId="0" borderId="1" xfId="0" applyNumberFormat="1" applyBorder="1"/>
    <xf numFmtId="0" fontId="0" fillId="4" borderId="1" xfId="0" applyFont="1" applyFill="1" applyBorder="1" applyAlignment="1">
      <alignment horizontal="center"/>
    </xf>
    <xf numFmtId="0" fontId="0" fillId="4" borderId="11" xfId="0" applyFont="1" applyFill="1" applyBorder="1" applyAlignment="1">
      <alignment horizontal="center"/>
    </xf>
    <xf numFmtId="0" fontId="0" fillId="4" borderId="2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numFmt numFmtId="21" formatCode="dd/mmm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4" formatCode="_-&quot;R$&quot;\ * #,##0.00_-;\-&quot;R$&quot;\ * #,##0.00_-;_-&quot;R$&quot;\ 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5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D60093"/>
      <color rgb="FF3BDD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Planilha1!$A$3:$A$7</c:f>
              <c:strCache>
                <c:ptCount val="5"/>
                <c:pt idx="0">
                  <c:v>Aluguel</c:v>
                </c:pt>
                <c:pt idx="1">
                  <c:v>Água</c:v>
                </c:pt>
                <c:pt idx="2">
                  <c:v>Luz</c:v>
                </c:pt>
                <c:pt idx="3">
                  <c:v>Transporte</c:v>
                </c:pt>
                <c:pt idx="4">
                  <c:v>Alimentação</c:v>
                </c:pt>
              </c:strCache>
            </c:strRef>
          </c:cat>
          <c:val>
            <c:numRef>
              <c:f>Planilha1!$B$3:$B$7</c:f>
              <c:numCache>
                <c:formatCode>_("R$"* #,##0.00_);_("R$"* \(#,##0.00\);_("R$"* "-"??_);_(@_)</c:formatCode>
                <c:ptCount val="5"/>
                <c:pt idx="0">
                  <c:v>900</c:v>
                </c:pt>
                <c:pt idx="1">
                  <c:v>120</c:v>
                </c:pt>
                <c:pt idx="2">
                  <c:v>130</c:v>
                </c:pt>
                <c:pt idx="3">
                  <c:v>80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F3-49F3-85D4-371DA5DC6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2743568"/>
        <c:axId val="1056604208"/>
      </c:barChart>
      <c:catAx>
        <c:axId val="99274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6604208"/>
        <c:crosses val="autoZero"/>
        <c:auto val="1"/>
        <c:lblAlgn val="ctr"/>
        <c:lblOffset val="100"/>
        <c:noMultiLvlLbl val="0"/>
      </c:catAx>
      <c:valAx>
        <c:axId val="105660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2743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Planilha1!$A$3:$A$7</c:f>
              <c:strCache>
                <c:ptCount val="5"/>
                <c:pt idx="0">
                  <c:v>Aluguel</c:v>
                </c:pt>
                <c:pt idx="1">
                  <c:v>Água</c:v>
                </c:pt>
                <c:pt idx="2">
                  <c:v>Luz</c:v>
                </c:pt>
                <c:pt idx="3">
                  <c:v>Transporte</c:v>
                </c:pt>
                <c:pt idx="4">
                  <c:v>Alimentação</c:v>
                </c:pt>
              </c:strCache>
            </c:strRef>
          </c:cat>
          <c:val>
            <c:numRef>
              <c:f>Planilha1!$B$3:$B$7</c:f>
              <c:numCache>
                <c:formatCode>_("R$"* #,##0.00_);_("R$"* \(#,##0.00\);_("R$"* "-"??_);_(@_)</c:formatCode>
                <c:ptCount val="5"/>
                <c:pt idx="0">
                  <c:v>900</c:v>
                </c:pt>
                <c:pt idx="1">
                  <c:v>120</c:v>
                </c:pt>
                <c:pt idx="2">
                  <c:v>130</c:v>
                </c:pt>
                <c:pt idx="3">
                  <c:v>80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C8-4BF7-BBF7-ECA05350A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9525</xdr:rowOff>
    </xdr:from>
    <xdr:to>
      <xdr:col>11</xdr:col>
      <xdr:colOff>304800</xdr:colOff>
      <xdr:row>14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45FACE-B68F-404A-8254-56FC5AC0BF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285750</xdr:colOff>
      <xdr:row>0</xdr:row>
      <xdr:rowOff>0</xdr:rowOff>
    </xdr:from>
    <xdr:to>
      <xdr:col>18</xdr:col>
      <xdr:colOff>590550</xdr:colOff>
      <xdr:row>14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2B007A8-6267-42D5-9C2B-210590F680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6AAC59-64F0-4ED5-BCC7-AF5E6D25F46D}" name="Tabela1" displayName="Tabela1" ref="A2:C7" totalsRowShown="0" headerRowDxfId="19" headerRowBorderDxfId="18" tableBorderDxfId="17" totalsRowBorderDxfId="16">
  <autoFilter ref="A2:C7" xr:uid="{4541966C-A453-45F0-AAC1-685C94746C09}"/>
  <tableColumns count="3">
    <tableColumn id="1" xr3:uid="{D4638A62-E70B-4FF9-8DCD-1026146E6EB4}" name="Descrição" dataDxfId="15"/>
    <tableColumn id="2" xr3:uid="{946662F0-6756-4981-897C-FADF0D939EFB}" name="Valor gasto" dataDxfId="14"/>
    <tableColumn id="3" xr3:uid="{69F82A1E-9288-4150-B926-1E6DE360572C}" name="Vencimento" dataDxfId="13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3ABCD4D-2B8B-4C6A-846A-D61A49758E65}" name="Tabela3" displayName="Tabela3" ref="D17:D29" totalsRowShown="0">
  <autoFilter ref="D17:D29" xr:uid="{2C8982C7-9717-4033-BABD-99646A740C08}"/>
  <tableColumns count="1">
    <tableColumn id="1" xr3:uid="{65D2B784-9D9E-4089-A502-1F7B012917F7}" name="Coluna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CD071E-C648-474A-B9D3-498819AF7701}" name="Tabela4" displayName="Tabela4" ref="A1:E7" totalsRowShown="0" headerRowDxfId="6" tableBorderDxfId="12">
  <autoFilter ref="A1:E7" xr:uid="{CDF8F27B-A1E5-4EAE-AA8C-9851594A8001}"/>
  <tableColumns count="5">
    <tableColumn id="1" xr3:uid="{BDC9FAE0-6E37-4DFF-995E-27707A82EAFE}" name="Descrição" dataDxfId="11"/>
    <tableColumn id="2" xr3:uid="{33C646D7-83BC-4166-B978-E310AD59A023}" name="Quantidade" dataDxfId="10"/>
    <tableColumn id="3" xr3:uid="{984B7A26-092E-4606-9FCA-ED3BD3F2D571}" name="Valor unitário" dataDxfId="9" dataCellStyle="Moeda"/>
    <tableColumn id="4" xr3:uid="{11CBD1A3-3DBF-4913-9C14-173B9119D825}" name="Valor total" dataDxfId="8" dataCellStyle="Moeda">
      <calculatedColumnFormula>C2*B2</calculatedColumnFormula>
    </tableColumn>
    <tableColumn id="5" xr3:uid="{1B7EA7E6-2F04-466C-A969-34E9BB934C1F}" name="Valor c/ 10%" dataDxfId="7">
      <calculatedColumnFormula>D2*$G$2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2B5D8-88D6-48D1-A1C8-EF35661B408C}">
  <dimension ref="A1:G30"/>
  <sheetViews>
    <sheetView workbookViewId="0">
      <selection activeCell="G22" sqref="G22"/>
    </sheetView>
  </sheetViews>
  <sheetFormatPr defaultRowHeight="15" x14ac:dyDescent="0.25"/>
  <cols>
    <col min="1" max="1" width="12.140625" bestFit="1" customWidth="1"/>
    <col min="2" max="2" width="13" customWidth="1"/>
    <col min="3" max="3" width="14" customWidth="1"/>
    <col min="4" max="4" width="12.140625" bestFit="1" customWidth="1"/>
    <col min="30" max="30" width="9.140625" customWidth="1"/>
  </cols>
  <sheetData>
    <row r="1" spans="1:7" ht="15.75" x14ac:dyDescent="0.25">
      <c r="A1" s="14" t="s">
        <v>0</v>
      </c>
      <c r="B1" s="15"/>
      <c r="C1" s="15"/>
      <c r="D1" s="3"/>
      <c r="E1" s="3"/>
    </row>
    <row r="2" spans="1:7" x14ac:dyDescent="0.25">
      <c r="A2" s="10" t="s">
        <v>1</v>
      </c>
      <c r="B2" s="11" t="s">
        <v>2</v>
      </c>
      <c r="C2" s="12" t="s">
        <v>3</v>
      </c>
      <c r="D2" s="4"/>
      <c r="E2" s="4"/>
    </row>
    <row r="3" spans="1:7" x14ac:dyDescent="0.25">
      <c r="A3" s="2" t="s">
        <v>4</v>
      </c>
      <c r="B3" s="8">
        <v>900</v>
      </c>
      <c r="C3" s="5">
        <v>46063</v>
      </c>
      <c r="D3" s="1"/>
      <c r="E3" s="1"/>
    </row>
    <row r="4" spans="1:7" x14ac:dyDescent="0.25">
      <c r="A4" s="2" t="s">
        <v>5</v>
      </c>
      <c r="B4" s="8">
        <v>120</v>
      </c>
      <c r="C4" s="5">
        <v>46068</v>
      </c>
      <c r="D4" s="1"/>
      <c r="E4" s="1"/>
    </row>
    <row r="5" spans="1:7" x14ac:dyDescent="0.25">
      <c r="A5" s="2" t="s">
        <v>6</v>
      </c>
      <c r="B5" s="8">
        <v>130</v>
      </c>
      <c r="C5" s="5">
        <v>46063</v>
      </c>
      <c r="D5" s="1"/>
      <c r="E5" s="1"/>
    </row>
    <row r="6" spans="1:7" x14ac:dyDescent="0.25">
      <c r="A6" s="2" t="s">
        <v>7</v>
      </c>
      <c r="B6" s="8">
        <v>80</v>
      </c>
      <c r="C6" s="5">
        <v>46063</v>
      </c>
      <c r="D6" s="1"/>
      <c r="E6" s="1"/>
    </row>
    <row r="7" spans="1:7" x14ac:dyDescent="0.25">
      <c r="A7" s="6" t="s">
        <v>8</v>
      </c>
      <c r="B7" s="9">
        <v>100</v>
      </c>
      <c r="C7" s="7">
        <v>46063</v>
      </c>
      <c r="D7" s="1"/>
      <c r="E7" s="1"/>
    </row>
    <row r="9" spans="1:7" x14ac:dyDescent="0.25">
      <c r="A9" s="16" t="s">
        <v>9</v>
      </c>
      <c r="B9" s="8">
        <f>B3+B4+B5+B6+B7</f>
        <v>1330</v>
      </c>
      <c r="C9" s="8">
        <f>SUM(B3:B7)</f>
        <v>1330</v>
      </c>
      <c r="D9" s="17">
        <f>SUM(Tabela1[Valor gasto])</f>
        <v>1330</v>
      </c>
      <c r="E9" s="1"/>
      <c r="F9" s="1"/>
      <c r="G9" s="1"/>
    </row>
    <row r="10" spans="1:7" x14ac:dyDescent="0.25">
      <c r="A10" s="16" t="s">
        <v>10</v>
      </c>
      <c r="B10" s="18">
        <v>2000</v>
      </c>
      <c r="C10" s="1"/>
      <c r="D10" s="1"/>
      <c r="E10" s="1"/>
      <c r="F10" s="1"/>
      <c r="G10" s="1"/>
    </row>
    <row r="11" spans="1:7" x14ac:dyDescent="0.25">
      <c r="A11" s="16" t="s">
        <v>11</v>
      </c>
      <c r="B11" s="8">
        <f>B10-B9</f>
        <v>670</v>
      </c>
      <c r="C11" s="1"/>
      <c r="D11" s="1"/>
      <c r="E11" s="1"/>
      <c r="F11" s="1"/>
      <c r="G11" s="1"/>
    </row>
    <row r="12" spans="1:7" x14ac:dyDescent="0.25">
      <c r="C12" s="1"/>
      <c r="D12" s="1"/>
      <c r="E12" s="1"/>
      <c r="F12" s="1"/>
      <c r="G12" s="1"/>
    </row>
    <row r="13" spans="1:7" x14ac:dyDescent="0.25">
      <c r="A13" t="s">
        <v>12</v>
      </c>
      <c r="B13" s="13">
        <f>B11/20</f>
        <v>33.5</v>
      </c>
      <c r="C13" s="1"/>
      <c r="D13" s="1"/>
      <c r="E13" s="1"/>
      <c r="F13" s="1"/>
      <c r="G13" s="1"/>
    </row>
    <row r="14" spans="1:7" x14ac:dyDescent="0.25">
      <c r="B14" t="str">
        <f>IF(B13&gt;50,"comer BK", "não comer BK")</f>
        <v>não comer BK</v>
      </c>
      <c r="C14" s="1"/>
      <c r="D14" s="1"/>
      <c r="E14" s="1"/>
      <c r="F14" s="1"/>
      <c r="G14" s="1"/>
    </row>
    <row r="15" spans="1:7" x14ac:dyDescent="0.25">
      <c r="C15" s="1"/>
      <c r="D15" s="1"/>
      <c r="E15" s="1"/>
      <c r="F15" s="1"/>
      <c r="G15" s="1"/>
    </row>
    <row r="16" spans="1:7" x14ac:dyDescent="0.25">
      <c r="A16">
        <v>1</v>
      </c>
      <c r="B16" t="s">
        <v>13</v>
      </c>
    </row>
    <row r="17" spans="1:4" x14ac:dyDescent="0.25">
      <c r="A17">
        <v>2</v>
      </c>
      <c r="B17" t="s">
        <v>14</v>
      </c>
      <c r="D17" t="s">
        <v>25</v>
      </c>
    </row>
    <row r="18" spans="1:4" x14ac:dyDescent="0.25">
      <c r="A18">
        <v>3</v>
      </c>
      <c r="B18" t="s">
        <v>15</v>
      </c>
      <c r="D18">
        <v>1</v>
      </c>
    </row>
    <row r="19" spans="1:4" x14ac:dyDescent="0.25">
      <c r="A19">
        <v>4</v>
      </c>
      <c r="B19" t="s">
        <v>16</v>
      </c>
      <c r="D19">
        <v>2</v>
      </c>
    </row>
    <row r="20" spans="1:4" x14ac:dyDescent="0.25">
      <c r="A20">
        <v>5</v>
      </c>
      <c r="B20" t="s">
        <v>17</v>
      </c>
      <c r="D20">
        <v>3</v>
      </c>
    </row>
    <row r="21" spans="1:4" x14ac:dyDescent="0.25">
      <c r="A21">
        <v>6</v>
      </c>
      <c r="B21" t="s">
        <v>18</v>
      </c>
      <c r="D21">
        <v>4</v>
      </c>
    </row>
    <row r="22" spans="1:4" x14ac:dyDescent="0.25">
      <c r="A22">
        <v>7</v>
      </c>
      <c r="B22" t="s">
        <v>19</v>
      </c>
      <c r="D22">
        <v>5</v>
      </c>
    </row>
    <row r="23" spans="1:4" x14ac:dyDescent="0.25">
      <c r="A23">
        <v>8</v>
      </c>
      <c r="B23" t="s">
        <v>20</v>
      </c>
      <c r="D23">
        <v>6</v>
      </c>
    </row>
    <row r="24" spans="1:4" x14ac:dyDescent="0.25">
      <c r="A24">
        <v>9</v>
      </c>
      <c r="B24" t="s">
        <v>21</v>
      </c>
      <c r="D24">
        <v>7</v>
      </c>
    </row>
    <row r="25" spans="1:4" x14ac:dyDescent="0.25">
      <c r="A25">
        <v>10</v>
      </c>
      <c r="B25" t="s">
        <v>22</v>
      </c>
      <c r="D25">
        <v>8</v>
      </c>
    </row>
    <row r="26" spans="1:4" x14ac:dyDescent="0.25">
      <c r="A26">
        <v>11</v>
      </c>
      <c r="B26" t="s">
        <v>23</v>
      </c>
      <c r="D26">
        <v>9</v>
      </c>
    </row>
    <row r="27" spans="1:4" x14ac:dyDescent="0.25">
      <c r="A27">
        <v>12</v>
      </c>
      <c r="B27" t="s">
        <v>24</v>
      </c>
      <c r="D27">
        <v>10</v>
      </c>
    </row>
    <row r="28" spans="1:4" x14ac:dyDescent="0.25">
      <c r="A28">
        <v>13</v>
      </c>
      <c r="D28">
        <v>11</v>
      </c>
    </row>
    <row r="29" spans="1:4" x14ac:dyDescent="0.25">
      <c r="A29">
        <v>14</v>
      </c>
      <c r="D29">
        <v>12</v>
      </c>
    </row>
    <row r="30" spans="1:4" x14ac:dyDescent="0.25">
      <c r="A30">
        <v>15</v>
      </c>
    </row>
  </sheetData>
  <mergeCells count="1">
    <mergeCell ref="A1:C1"/>
  </mergeCells>
  <conditionalFormatting sqref="B13">
    <cfRule type="cellIs" dxfId="5" priority="6" operator="lessThan">
      <formula>50</formula>
    </cfRule>
    <cfRule type="cellIs" dxfId="4" priority="7" operator="greaterThan">
      <formula>33.5</formula>
    </cfRule>
    <cfRule type="cellIs" dxfId="3" priority="8" operator="greaterThan">
      <formula>33.5</formula>
    </cfRule>
  </conditionalFormatting>
  <conditionalFormatting sqref="B14">
    <cfRule type="containsText" dxfId="2" priority="1" operator="containsText" text="não comer BK">
      <formula>NOT(ISERROR(SEARCH("não comer BK",B14)))</formula>
    </cfRule>
    <cfRule type="containsText" dxfId="1" priority="2" operator="containsText" text="comer BK">
      <formula>NOT(ISERROR(SEARCH("comer BK",B14)))</formula>
    </cfRule>
    <cfRule type="containsText" dxfId="0" priority="3" operator="containsText" text="não comer BK">
      <formula>NOT(ISERROR(SEARCH("não comer BK",B14)))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B9FFE-FB8B-4C32-91DA-00E2E1795D69}">
  <dimension ref="A1:G7"/>
  <sheetViews>
    <sheetView tabSelected="1" zoomScale="85" zoomScaleNormal="85" workbookViewId="0">
      <selection activeCell="A10" sqref="A10"/>
    </sheetView>
  </sheetViews>
  <sheetFormatPr defaultRowHeight="15" x14ac:dyDescent="0.25"/>
  <cols>
    <col min="1" max="1" width="14.5703125" customWidth="1"/>
    <col min="2" max="2" width="13.5703125" customWidth="1"/>
    <col min="3" max="3" width="15.28515625" customWidth="1"/>
    <col min="4" max="4" width="12.42578125" customWidth="1"/>
    <col min="5" max="5" width="14" customWidth="1"/>
    <col min="13" max="13" width="7.42578125" customWidth="1"/>
    <col min="15" max="15" width="7" customWidth="1"/>
  </cols>
  <sheetData>
    <row r="1" spans="1:7" x14ac:dyDescent="0.25">
      <c r="A1" s="22" t="s">
        <v>1</v>
      </c>
      <c r="B1" s="20" t="s">
        <v>26</v>
      </c>
      <c r="C1" s="20" t="s">
        <v>27</v>
      </c>
      <c r="D1" s="20" t="s">
        <v>34</v>
      </c>
      <c r="E1" s="21" t="s">
        <v>35</v>
      </c>
    </row>
    <row r="2" spans="1:7" x14ac:dyDescent="0.25">
      <c r="A2" s="2" t="s">
        <v>28</v>
      </c>
      <c r="B2" s="16">
        <v>2</v>
      </c>
      <c r="C2" s="19">
        <v>109.9</v>
      </c>
      <c r="D2" s="18">
        <f>B2*C2</f>
        <v>219.8</v>
      </c>
      <c r="E2" s="13">
        <f>D2*$G$2</f>
        <v>241.78000000000003</v>
      </c>
      <c r="G2">
        <v>1.1000000000000001</v>
      </c>
    </row>
    <row r="3" spans="1:7" x14ac:dyDescent="0.25">
      <c r="A3" s="2" t="s">
        <v>29</v>
      </c>
      <c r="B3" s="16">
        <v>2</v>
      </c>
      <c r="C3" s="18">
        <v>45</v>
      </c>
      <c r="D3" s="18">
        <f>C3*B3</f>
        <v>90</v>
      </c>
      <c r="E3" s="13">
        <f t="shared" ref="E3:E7" si="0">D3*$G$2</f>
        <v>99.000000000000014</v>
      </c>
    </row>
    <row r="4" spans="1:7" x14ac:dyDescent="0.25">
      <c r="A4" s="2" t="s">
        <v>30</v>
      </c>
      <c r="B4" s="16">
        <v>5</v>
      </c>
      <c r="C4" s="18">
        <v>899</v>
      </c>
      <c r="D4" s="18">
        <f t="shared" ref="D4:D7" si="1">C4*B4</f>
        <v>4495</v>
      </c>
      <c r="E4" s="13">
        <f t="shared" si="0"/>
        <v>4944.5</v>
      </c>
    </row>
    <row r="5" spans="1:7" x14ac:dyDescent="0.25">
      <c r="A5" s="2" t="s">
        <v>31</v>
      </c>
      <c r="B5" s="16">
        <v>2</v>
      </c>
      <c r="C5" s="18">
        <v>550</v>
      </c>
      <c r="D5" s="18">
        <f t="shared" si="1"/>
        <v>1100</v>
      </c>
      <c r="E5" s="13">
        <f t="shared" si="0"/>
        <v>1210</v>
      </c>
    </row>
    <row r="6" spans="1:7" x14ac:dyDescent="0.25">
      <c r="A6" s="2" t="s">
        <v>32</v>
      </c>
      <c r="B6" s="16">
        <v>2</v>
      </c>
      <c r="C6" s="18">
        <v>120</v>
      </c>
      <c r="D6" s="18">
        <f t="shared" si="1"/>
        <v>240</v>
      </c>
      <c r="E6" s="13">
        <f t="shared" si="0"/>
        <v>264</v>
      </c>
    </row>
    <row r="7" spans="1:7" x14ac:dyDescent="0.25">
      <c r="A7" s="2" t="s">
        <v>33</v>
      </c>
      <c r="B7" s="16">
        <v>2</v>
      </c>
      <c r="C7" s="18">
        <v>140</v>
      </c>
      <c r="D7" s="18">
        <f>C7*B7</f>
        <v>280</v>
      </c>
      <c r="E7" s="13">
        <f t="shared" si="0"/>
        <v>308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ead</dc:creator>
  <cp:lastModifiedBy>ead</cp:lastModifiedBy>
  <dcterms:created xsi:type="dcterms:W3CDTF">2026-02-19T14:36:28Z</dcterms:created>
  <dcterms:modified xsi:type="dcterms:W3CDTF">2026-02-24T14:21:24Z</dcterms:modified>
</cp:coreProperties>
</file>